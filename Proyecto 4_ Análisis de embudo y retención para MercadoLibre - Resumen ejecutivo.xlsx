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Pais'!$A$1:$J$12</definedName>
  </definedNames>
  <calcPr/>
</workbook>
</file>

<file path=xl/sharedStrings.xml><?xml version="1.0" encoding="utf-8"?>
<sst xmlns="http://schemas.openxmlformats.org/spreadsheetml/2006/main" count="61" uniqueCount="39">
  <si>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</si>
  <si>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</si>
  <si>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</si>
  <si>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</si>
  <si>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Analizamos el embudo de conversión general y por país considerando los pasos "select_item" , "add_to_cart", "begin_checkout", "add_shipping_info" "add_payment_info" y "purchase" entre el 01/01/2025 y el 31/08/2025</t>
  </si>
  <si>
    <t>-La mayor caída en la conversión se da entre los pasos "select_item" y "add_to_cart"                                                           -Este patrón es consistente entre países.                                                 - Uruguay es el país con mejor tasa de conversión en esa etapa (22.73%) y Argentina la más baja (8.75%)</t>
  </si>
  <si>
    <t>-Reducir fricción en las etapas intermedias del embudo
-Priorizar iniciativas que ayuden a los usuarios a avanzar de selección de producto hacia checkout (claridad de precios, costos de envío y medios de pago), donde se concentra una parte relevante de la pérdida.</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</si>
  <si>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</si>
  <si>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 xml:space="preserve">Analizamos la retención de usuarios por cohorte mensual y por país, para los usuarios que se registraron entre el 01/01/2025 y el 31/08/2025. Considerando los días clave 7, 14, 21 y 28, depués del registro. </t>
  </si>
  <si>
    <t xml:space="preserve">- La retención cae de manera acumulada conforme avanzan los días
-Tanto en la retención por país como por cohorte, el porcentaje de usuarios activos disminuye de D7 a D28.                                                    - La mayor caída ocurre después del día 7, lo que indica que mantener la actividad recurrente es un reto clave.                                                                -Destaca la retención en la cohorte de Agosto/2025 que es menor que en el resto de las cohortes. </t>
  </si>
  <si>
    <t xml:space="preserve">-Fortalecer estrategias de engagement post-registro
-Dado que la retención disminuye significativamente después del día 7, se recomienda enfocar acciones de comunicación y valor (recordatorios, beneficios, personalización) entre D7 y D14 para mejorar la retención acumulada.
-Revisar la causa de la caída en retención en la cohorte de Agosto </t>
  </si>
  <si>
    <t>Reflexión personal</t>
  </si>
  <si>
    <t xml:space="preserve">- ¿Qué etapa mejorarías primero?
</t>
  </si>
  <si>
    <t>Me enfocaría primero en mejorar la transición entre select_item y add_to_cart. El análisis del embudo muestra que una proporción importante de usuarios abandona el proceso en esta etapa, lo que indica que existe intención de compra pero fricción para avanzar. Optimizar este punto tendría un impacto inmediato tanto en la conversión final como en la eficiencia del embudo completo.</t>
  </si>
  <si>
    <t>- ¿Qué aprendiste sobre el comportamiento del usuario?</t>
  </si>
  <si>
    <t>El análisis revela que los usuarios muestran interés inicial por los productos, pero son sensibles a fricciones tempranas y tienden a abandonar rápidamente si el proceso no es claro o perciben incertidumbre. Además, la caída de retención después del día 7 sugiere que, sin estímulos adicionales, muchos usuarios no desarrollan un hábito de uso, lo que refuerza la importancia de una buena experiencia inicial y de acciones de engagement temprano.</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</si>
  <si>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</si>
  <si>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</si>
  <si>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</si>
  <si>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</si>
  <si>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</si>
  <si>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</si>
  <si>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</si>
  <si>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</si>
  <si>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</si>
  <si>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</si>
  <si>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</si>
  <si>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</si>
  <si>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</si>
  <si>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</si>
  <si>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</si>
  <si>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</si>
  <si>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</si>
  <si>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</si>
  <si>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</si>
  <si>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</si>
  <si>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</si>
  <si>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promedio</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</si>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</sst>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Embudo de conversión entre Enero 1 y Agosto 31 de 2025</a:t>
            </a:r>
          </a:p>
        </c:rich>
      </c:tx>
      <c:overlay val="0"/>
    </c:title>
    <c:plotArea>
      <c:layout/>
      <c:barChart>
        <c:barDir val="bar"/>
        <c:ser>
          <c:idx val="0"/>
          <c:order val="0"/>
          <c:spPr>
            <a:solidFill>
              <a:schemeClr val="accent1"/>
            </a:solidFill>
            <a:ln cmpd="sng">
              <a:solidFill>
                <a:srgbClr val="000000"/>
              </a:solidFill>
            </a:ln>
          </c:spPr>
          <c:cat>
            <c:strRef>
              <c:f>'Embudo General'!$A$1:$F$1</c:f>
            </c:strRef>
          </c:cat>
          <c:val>
            <c:numRef>
              <c:f>'Embudo General'!$A$2:$F$2</c:f>
              <c:numCache/>
            </c:numRef>
          </c:val>
        </c:ser>
        <c:axId val="2079613930"/>
        <c:axId val="1151684473"/>
      </c:barChart>
      <c:catAx>
        <c:axId val="207961393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1684473"/>
      </c:catAx>
      <c:valAx>
        <c:axId val="115168447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porcentaje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9613930"/>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Embudos de conversión por país entre Enero 1 y Agosto 31 de 2025</a:t>
            </a:r>
          </a:p>
        </c:rich>
      </c:tx>
      <c:overlay val="0"/>
    </c:title>
    <c:plotArea>
      <c:layout/>
      <c:barChart>
        <c:barDir val="bar"/>
        <c:ser>
          <c:idx val="0"/>
          <c:order val="0"/>
          <c:tx>
            <c:strRef>
              <c:f>'Embudo General x Pais'!$A$2</c:f>
            </c:strRef>
          </c:tx>
          <c:spPr>
            <a:solidFill>
              <a:schemeClr val="accent1"/>
            </a:solidFill>
            <a:ln cmpd="sng">
              <a:solidFill>
                <a:srgbClr val="000000"/>
              </a:solidFill>
            </a:ln>
          </c:spPr>
          <c:cat>
            <c:strRef>
              <c:f>'Embudo General x Pais'!$B$1:$G$1</c:f>
            </c:strRef>
          </c:cat>
          <c:val>
            <c:numRef>
              <c:f>'Embudo General x Pais'!$B$2:$G$2</c:f>
              <c:numCache/>
            </c:numRef>
          </c:val>
        </c:ser>
        <c:ser>
          <c:idx val="1"/>
          <c:order val="1"/>
          <c:tx>
            <c:strRef>
              <c:f>'Embudo General x Pais'!$A$3</c:f>
            </c:strRef>
          </c:tx>
          <c:spPr>
            <a:solidFill>
              <a:schemeClr val="accent2"/>
            </a:solidFill>
            <a:ln cmpd="sng">
              <a:solidFill>
                <a:srgbClr val="000000"/>
              </a:solidFill>
            </a:ln>
          </c:spPr>
          <c:cat>
            <c:strRef>
              <c:f>'Embudo General x Pais'!$B$1:$G$1</c:f>
            </c:strRef>
          </c:cat>
          <c:val>
            <c:numRef>
              <c:f>'Embudo General x Pais'!$B$3:$G$3</c:f>
              <c:numCache/>
            </c:numRef>
          </c:val>
        </c:ser>
        <c:ser>
          <c:idx val="2"/>
          <c:order val="2"/>
          <c:tx>
            <c:strRef>
              <c:f>'Embudo General x Pais'!$A$4</c:f>
            </c:strRef>
          </c:tx>
          <c:spPr>
            <a:solidFill>
              <a:schemeClr val="accent3"/>
            </a:solidFill>
            <a:ln cmpd="sng">
              <a:solidFill>
                <a:srgbClr val="000000"/>
              </a:solidFill>
            </a:ln>
          </c:spPr>
          <c:cat>
            <c:strRef>
              <c:f>'Embudo General x Pais'!$B$1:$G$1</c:f>
            </c:strRef>
          </c:cat>
          <c:val>
            <c:numRef>
              <c:f>'Embudo General x Pais'!$B$4:$G$4</c:f>
              <c:numCache/>
            </c:numRef>
          </c:val>
        </c:ser>
        <c:ser>
          <c:idx val="3"/>
          <c:order val="3"/>
          <c:tx>
            <c:strRef>
              <c:f>'Embudo General x Pais'!$A$5</c:f>
            </c:strRef>
          </c:tx>
          <c:spPr>
            <a:solidFill>
              <a:schemeClr val="accent4"/>
            </a:solidFill>
            <a:ln cmpd="sng">
              <a:solidFill>
                <a:srgbClr val="000000"/>
              </a:solidFill>
            </a:ln>
          </c:spPr>
          <c:cat>
            <c:strRef>
              <c:f>'Embudo General x Pais'!$B$1:$G$1</c:f>
            </c:strRef>
          </c:cat>
          <c:val>
            <c:numRef>
              <c:f>'Embudo General x Pais'!$B$5:$G$5</c:f>
              <c:numCache/>
            </c:numRef>
          </c:val>
        </c:ser>
        <c:ser>
          <c:idx val="4"/>
          <c:order val="4"/>
          <c:tx>
            <c:strRef>
              <c:f>'Embudo General x Pais'!$A$6</c:f>
            </c:strRef>
          </c:tx>
          <c:spPr>
            <a:solidFill>
              <a:schemeClr val="accent5"/>
            </a:solidFill>
            <a:ln cmpd="sng">
              <a:solidFill>
                <a:srgbClr val="000000"/>
              </a:solidFill>
            </a:ln>
          </c:spPr>
          <c:cat>
            <c:strRef>
              <c:f>'Embudo General x Pais'!$B$1:$G$1</c:f>
            </c:strRef>
          </c:cat>
          <c:val>
            <c:numRef>
              <c:f>'Embudo General x Pais'!$B$6:$G$6</c:f>
              <c:numCache/>
            </c:numRef>
          </c:val>
        </c:ser>
        <c:ser>
          <c:idx val="5"/>
          <c:order val="5"/>
          <c:tx>
            <c:strRef>
              <c:f>'Embudo General x Pais'!$A$7</c:f>
            </c:strRef>
          </c:tx>
          <c:spPr>
            <a:solidFill>
              <a:schemeClr val="accent6"/>
            </a:solidFill>
            <a:ln cmpd="sng">
              <a:solidFill>
                <a:srgbClr val="000000"/>
              </a:solidFill>
            </a:ln>
          </c:spPr>
          <c:cat>
            <c:strRef>
              <c:f>'Embudo General x Pais'!$B$1:$G$1</c:f>
            </c:strRef>
          </c:cat>
          <c:val>
            <c:numRef>
              <c:f>'Embudo General x Pais'!$B$7:$G$7</c:f>
              <c:numCache/>
            </c:numRef>
          </c:val>
        </c:ser>
        <c:ser>
          <c:idx val="6"/>
          <c:order val="6"/>
          <c:tx>
            <c:strRef>
              <c:f>'Embudo General x Pais'!$A$8</c:f>
            </c:strRef>
          </c:tx>
          <c:spPr>
            <a:solidFill>
              <a:schemeClr val="accent1">
                <a:lumOff val="30000"/>
              </a:schemeClr>
            </a:solidFill>
            <a:ln cmpd="sng">
              <a:solidFill>
                <a:srgbClr val="000000"/>
              </a:solidFill>
            </a:ln>
          </c:spPr>
          <c:cat>
            <c:strRef>
              <c:f>'Embudo General x Pais'!$B$1:$G$1</c:f>
            </c:strRef>
          </c:cat>
          <c:val>
            <c:numRef>
              <c:f>'Embudo General x Pais'!$B$8:$G$8</c:f>
              <c:numCache/>
            </c:numRef>
          </c:val>
        </c:ser>
        <c:ser>
          <c:idx val="7"/>
          <c:order val="7"/>
          <c:tx>
            <c:strRef>
              <c:f>'Embudo General x Pais'!$A$9</c:f>
            </c:strRef>
          </c:tx>
          <c:spPr>
            <a:solidFill>
              <a:schemeClr val="accent2">
                <a:lumOff val="30000"/>
              </a:schemeClr>
            </a:solidFill>
            <a:ln cmpd="sng">
              <a:solidFill>
                <a:srgbClr val="000000"/>
              </a:solidFill>
            </a:ln>
          </c:spPr>
          <c:cat>
            <c:strRef>
              <c:f>'Embudo General x Pais'!$B$1:$G$1</c:f>
            </c:strRef>
          </c:cat>
          <c:val>
            <c:numRef>
              <c:f>'Embudo General x Pais'!$B$9:$G$9</c:f>
              <c:numCache/>
            </c:numRef>
          </c:val>
        </c:ser>
        <c:ser>
          <c:idx val="8"/>
          <c:order val="8"/>
          <c:tx>
            <c:strRef>
              <c:f>'Embudo General x Pais'!$A$10</c:f>
            </c:strRef>
          </c:tx>
          <c:spPr>
            <a:solidFill>
              <a:schemeClr val="accent3">
                <a:lumOff val="30000"/>
              </a:schemeClr>
            </a:solidFill>
            <a:ln cmpd="sng">
              <a:solidFill>
                <a:srgbClr val="000000"/>
              </a:solidFill>
            </a:ln>
          </c:spPr>
          <c:cat>
            <c:strRef>
              <c:f>'Embudo General x Pais'!$B$1:$G$1</c:f>
            </c:strRef>
          </c:cat>
          <c:val>
            <c:numRef>
              <c:f>'Embudo General x Pais'!$B$10:$G$10</c:f>
              <c:numCache/>
            </c:numRef>
          </c:val>
        </c:ser>
        <c:ser>
          <c:idx val="9"/>
          <c:order val="9"/>
          <c:tx>
            <c:strRef>
              <c:f>'Embudo General x Pais'!$A$11</c:f>
            </c:strRef>
          </c:tx>
          <c:spPr>
            <a:solidFill>
              <a:schemeClr val="accent4">
                <a:lumOff val="30000"/>
              </a:schemeClr>
            </a:solidFill>
            <a:ln cmpd="sng">
              <a:solidFill>
                <a:srgbClr val="000000"/>
              </a:solidFill>
            </a:ln>
          </c:spPr>
          <c:cat>
            <c:strRef>
              <c:f>'Embudo General x Pais'!$B$1:$G$1</c:f>
            </c:strRef>
          </c:cat>
          <c:val>
            <c:numRef>
              <c:f>'Embudo General x Pais'!$B$11:$G$11</c:f>
              <c:numCache/>
            </c:numRef>
          </c:val>
        </c:ser>
        <c:axId val="658091131"/>
        <c:axId val="1111942666"/>
      </c:barChart>
      <c:catAx>
        <c:axId val="6580911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1111942666"/>
      </c:catAx>
      <c:valAx>
        <c:axId val="111194266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8091131"/>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219075</xdr:colOff>
      <xdr:row>0</xdr:row>
      <xdr:rowOff>2476500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12</xdr:row>
      <xdr:rowOff>28575</xdr:rowOff>
    </xdr:from>
    <xdr:ext cx="10410825" cy="643890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5" width="27.88"/>
  </cols>
  <sheetData>
    <row r="1">
      <c r="B1" s="1"/>
    </row>
    <row r="2">
      <c r="B2" s="1"/>
      <c r="C2" s="2" t="s">
        <v>0</v>
      </c>
      <c r="D2" s="2" t="s">
        <v>1</v>
      </c>
      <c r="E2" s="2" t="s">
        <v>2</v>
      </c>
    </row>
    <row r="3">
      <c r="B3" s="3" t="s">
        <v>3</v>
      </c>
      <c r="C3" s="3" t="s">
        <v>4</v>
      </c>
      <c r="D3" s="4" t="s">
        <v>5</v>
      </c>
      <c r="E3" s="4" t="s">
        <v>6</v>
      </c>
    </row>
    <row r="4">
      <c r="B4" s="3" t="s">
        <v>7</v>
      </c>
      <c r="C4" s="3" t="s">
        <v>8</v>
      </c>
      <c r="D4" s="4" t="s">
        <v>9</v>
      </c>
      <c r="E4" s="3" t="s">
        <v>10</v>
      </c>
    </row>
    <row r="5">
      <c r="B5" s="4"/>
    </row>
    <row r="6">
      <c r="B6" s="1"/>
    </row>
    <row r="7">
      <c r="B7" s="4"/>
    </row>
    <row r="8">
      <c r="B8" s="5" t="s">
        <v>11</v>
      </c>
    </row>
    <row r="9">
      <c r="B9" s="3" t="s">
        <v>12</v>
      </c>
      <c r="C9" s="4" t="s">
        <v>13</v>
      </c>
    </row>
    <row r="10">
      <c r="B10" s="3" t="s">
        <v>14</v>
      </c>
      <c r="C10" s="4" t="s">
        <v>15</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mergeCells count="2">
    <mergeCell ref="C9:E9"/>
    <mergeCell ref="C10:E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6" t="s">
        <v>16</v>
      </c>
      <c r="B1" s="6" t="s">
        <v>17</v>
      </c>
      <c r="C1" s="6" t="s">
        <v>18</v>
      </c>
      <c r="D1" s="6" t="s">
        <v>19</v>
      </c>
      <c r="E1" s="6" t="s">
        <v>20</v>
      </c>
      <c r="F1" s="6" t="s">
        <v>21</v>
      </c>
    </row>
    <row r="2">
      <c r="A2" s="7">
        <v>76.8974</v>
      </c>
      <c r="B2" s="7">
        <v>11.0092</v>
      </c>
      <c r="C2" s="7">
        <v>4.00334</v>
      </c>
      <c r="D2" s="7">
        <v>2.41868</v>
      </c>
      <c r="E2" s="7">
        <v>2.08507</v>
      </c>
      <c r="F2" s="7">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6" t="s">
        <v>22</v>
      </c>
      <c r="B1" s="6" t="s">
        <v>16</v>
      </c>
      <c r="C1" s="6" t="s">
        <v>17</v>
      </c>
      <c r="D1" s="6" t="s">
        <v>18</v>
      </c>
      <c r="E1" s="6" t="s">
        <v>19</v>
      </c>
      <c r="F1" s="6" t="s">
        <v>20</v>
      </c>
      <c r="G1" s="6" t="s">
        <v>21</v>
      </c>
    </row>
    <row r="2">
      <c r="A2" s="7" t="s">
        <v>23</v>
      </c>
      <c r="B2" s="8">
        <v>81.8182</v>
      </c>
      <c r="C2" s="8">
        <v>22.7273</v>
      </c>
      <c r="D2" s="8">
        <v>4.54545</v>
      </c>
      <c r="E2" s="8">
        <v>4.54545</v>
      </c>
      <c r="F2" s="8">
        <v>4.54545</v>
      </c>
      <c r="G2" s="8">
        <v>4.54545</v>
      </c>
    </row>
    <row r="3">
      <c r="A3" s="7" t="s">
        <v>24</v>
      </c>
      <c r="B3" s="8">
        <v>80.6452</v>
      </c>
      <c r="C3" s="8">
        <v>9.67742</v>
      </c>
      <c r="D3" s="8">
        <v>3.22581</v>
      </c>
      <c r="E3" s="8">
        <v>3.22581</v>
      </c>
      <c r="F3" s="8">
        <v>3.22581</v>
      </c>
      <c r="G3" s="8">
        <v>3.22581</v>
      </c>
    </row>
    <row r="4">
      <c r="A4" s="7" t="s">
        <v>25</v>
      </c>
      <c r="B4" s="8">
        <v>79.7521</v>
      </c>
      <c r="C4" s="8">
        <v>13.2231</v>
      </c>
      <c r="D4" s="8">
        <v>4.13223</v>
      </c>
      <c r="E4" s="8">
        <v>3.30579</v>
      </c>
      <c r="F4" s="8">
        <v>2.89256</v>
      </c>
      <c r="G4" s="8">
        <v>2.47934</v>
      </c>
    </row>
    <row r="5">
      <c r="A5" s="7" t="s">
        <v>26</v>
      </c>
      <c r="B5" s="8">
        <v>84.5455</v>
      </c>
      <c r="C5" s="8">
        <v>10.0</v>
      </c>
      <c r="D5" s="8">
        <v>2.72727</v>
      </c>
      <c r="E5" s="8">
        <v>2.72727</v>
      </c>
      <c r="F5" s="8">
        <v>1.81818</v>
      </c>
      <c r="G5" s="8">
        <v>1.81818</v>
      </c>
    </row>
    <row r="6">
      <c r="A6" s="7" t="s">
        <v>27</v>
      </c>
      <c r="B6" s="8">
        <v>75.0</v>
      </c>
      <c r="C6" s="8">
        <v>8.75</v>
      </c>
      <c r="D6" s="8">
        <v>4.375</v>
      </c>
      <c r="E6" s="8">
        <v>1.875</v>
      </c>
      <c r="F6" s="8">
        <v>1.875</v>
      </c>
      <c r="G6" s="8">
        <v>1.25</v>
      </c>
    </row>
    <row r="7">
      <c r="A7" s="7" t="s">
        <v>28</v>
      </c>
      <c r="B7" s="8">
        <v>78.3505</v>
      </c>
      <c r="C7" s="8">
        <v>17.5258</v>
      </c>
      <c r="D7" s="8">
        <v>8.24742</v>
      </c>
      <c r="E7" s="8">
        <v>3.09278</v>
      </c>
      <c r="F7" s="8">
        <v>2.06186</v>
      </c>
      <c r="G7" s="8">
        <v>1.03093</v>
      </c>
    </row>
    <row r="8">
      <c r="A8" s="7" t="s">
        <v>29</v>
      </c>
      <c r="B8" s="8">
        <v>72.6027</v>
      </c>
      <c r="C8" s="8">
        <v>8.90411</v>
      </c>
      <c r="D8" s="8">
        <v>2.39726</v>
      </c>
      <c r="E8" s="8">
        <v>1.36986</v>
      </c>
      <c r="F8" s="8">
        <v>1.36986</v>
      </c>
      <c r="G8" s="8">
        <v>0.684932</v>
      </c>
    </row>
    <row r="9">
      <c r="A9" s="7" t="s">
        <v>30</v>
      </c>
      <c r="B9" s="8">
        <v>74.5763</v>
      </c>
      <c r="C9" s="8">
        <v>10.1695</v>
      </c>
      <c r="D9" s="8">
        <v>5.08475</v>
      </c>
      <c r="E9" s="8">
        <v>1.69492</v>
      </c>
      <c r="F9" s="8">
        <v>1.69492</v>
      </c>
      <c r="G9" s="8">
        <v>0.0</v>
      </c>
    </row>
    <row r="10">
      <c r="A10" s="7" t="s">
        <v>31</v>
      </c>
      <c r="B10" s="8">
        <v>76.3636</v>
      </c>
      <c r="C10" s="8">
        <v>9.69697</v>
      </c>
      <c r="D10" s="8">
        <v>4.84848</v>
      </c>
      <c r="E10" s="8">
        <v>3.0303</v>
      </c>
      <c r="F10" s="8">
        <v>2.42424</v>
      </c>
      <c r="G10" s="8">
        <v>0.0</v>
      </c>
    </row>
    <row r="11">
      <c r="A11" s="7" t="s">
        <v>32</v>
      </c>
      <c r="B11" s="8">
        <v>71.4286</v>
      </c>
      <c r="C11" s="8">
        <v>9.52381</v>
      </c>
      <c r="D11" s="8">
        <v>0.0</v>
      </c>
      <c r="E11" s="8">
        <v>0.0</v>
      </c>
      <c r="F11" s="8">
        <v>0.0</v>
      </c>
      <c r="G11" s="8">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7" t="s">
        <v>22</v>
      </c>
      <c r="B1" s="7" t="s">
        <v>33</v>
      </c>
      <c r="C1" s="7" t="s">
        <v>34</v>
      </c>
      <c r="D1" s="7" t="s">
        <v>35</v>
      </c>
      <c r="E1" s="7" t="s">
        <v>36</v>
      </c>
    </row>
    <row r="2">
      <c r="A2" s="7" t="s">
        <v>27</v>
      </c>
      <c r="B2" s="7">
        <v>85.1</v>
      </c>
      <c r="C2" s="7">
        <v>52.3</v>
      </c>
      <c r="D2" s="7">
        <v>22.5</v>
      </c>
      <c r="E2" s="7">
        <v>1.8</v>
      </c>
      <c r="H2" s="9"/>
    </row>
    <row r="3">
      <c r="A3" s="7" t="s">
        <v>24</v>
      </c>
      <c r="B3" s="7">
        <v>80.8</v>
      </c>
      <c r="C3" s="7">
        <v>46.8</v>
      </c>
      <c r="D3" s="7">
        <v>19.2</v>
      </c>
      <c r="E3" s="7">
        <v>2.5</v>
      </c>
      <c r="H3" s="9"/>
    </row>
    <row r="4">
      <c r="A4" s="7" t="s">
        <v>29</v>
      </c>
      <c r="B4" s="7">
        <v>87.2</v>
      </c>
      <c r="C4" s="7">
        <v>54.4</v>
      </c>
      <c r="D4" s="7">
        <v>24.4</v>
      </c>
      <c r="E4" s="7">
        <v>2.5</v>
      </c>
      <c r="H4" s="9"/>
    </row>
    <row r="5">
      <c r="A5" s="7" t="s">
        <v>28</v>
      </c>
      <c r="B5" s="7">
        <v>83.7</v>
      </c>
      <c r="C5" s="7">
        <v>51.8</v>
      </c>
      <c r="D5" s="7">
        <v>22.1</v>
      </c>
      <c r="E5" s="7">
        <v>1.7</v>
      </c>
      <c r="H5" s="9"/>
    </row>
    <row r="6">
      <c r="A6" s="7" t="s">
        <v>31</v>
      </c>
      <c r="B6" s="7">
        <v>84.5</v>
      </c>
      <c r="C6" s="7">
        <v>52.0</v>
      </c>
      <c r="D6" s="7">
        <v>21.8</v>
      </c>
      <c r="E6" s="7">
        <v>1.6</v>
      </c>
      <c r="H6" s="9"/>
    </row>
    <row r="7">
      <c r="A7" s="7" t="s">
        <v>30</v>
      </c>
      <c r="B7" s="7">
        <v>79.1</v>
      </c>
      <c r="C7" s="7">
        <v>50.0</v>
      </c>
      <c r="D7" s="7">
        <v>20.6</v>
      </c>
      <c r="E7" s="7">
        <v>2.5</v>
      </c>
      <c r="H7" s="9"/>
    </row>
    <row r="8">
      <c r="A8" s="7" t="s">
        <v>25</v>
      </c>
      <c r="B8" s="7">
        <v>86.1</v>
      </c>
      <c r="C8" s="7">
        <v>55.8</v>
      </c>
      <c r="D8" s="7">
        <v>25.5</v>
      </c>
      <c r="E8" s="7">
        <v>3.1</v>
      </c>
      <c r="H8" s="9"/>
    </row>
    <row r="9">
      <c r="A9" s="7" t="s">
        <v>32</v>
      </c>
      <c r="B9" s="7">
        <v>80.9</v>
      </c>
      <c r="C9" s="7">
        <v>49.1</v>
      </c>
      <c r="D9" s="7">
        <v>22.1</v>
      </c>
      <c r="E9" s="7">
        <v>2.1</v>
      </c>
      <c r="H9" s="9"/>
    </row>
    <row r="10">
      <c r="A10" s="7" t="s">
        <v>26</v>
      </c>
      <c r="B10" s="7">
        <v>84.3</v>
      </c>
      <c r="C10" s="7">
        <v>51.1</v>
      </c>
      <c r="D10" s="7">
        <v>22.9</v>
      </c>
      <c r="E10" s="7">
        <v>3.2</v>
      </c>
      <c r="H10" s="9"/>
    </row>
    <row r="11">
      <c r="A11" s="7" t="s">
        <v>23</v>
      </c>
      <c r="B11" s="7">
        <v>86.1</v>
      </c>
      <c r="C11" s="7">
        <v>48.8</v>
      </c>
      <c r="D11" s="7">
        <v>23.0</v>
      </c>
      <c r="E11" s="7">
        <v>2.5</v>
      </c>
      <c r="H11" s="9"/>
    </row>
    <row r="12">
      <c r="A12" s="6" t="s">
        <v>37</v>
      </c>
      <c r="B12" s="7">
        <f t="shared" ref="B12:E12" si="1">AVERAGE(B2:B11)</f>
        <v>83.78</v>
      </c>
      <c r="C12" s="7">
        <f t="shared" si="1"/>
        <v>51.21</v>
      </c>
      <c r="D12" s="7">
        <f t="shared" si="1"/>
        <v>22.41</v>
      </c>
      <c r="E12" s="7">
        <f t="shared" si="1"/>
        <v>2.35</v>
      </c>
      <c r="H12" s="9"/>
    </row>
  </sheetData>
  <autoFilter ref="$A$1:$J$12">
    <sortState ref="A1:J12">
      <sortCondition ref="A1:A12"/>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3.38"/>
    <col customWidth="1" min="3" max="5" width="14.38"/>
  </cols>
  <sheetData>
    <row r="1">
      <c r="A1" s="7" t="s">
        <v>38</v>
      </c>
      <c r="B1" s="7" t="s">
        <v>33</v>
      </c>
      <c r="C1" s="7" t="s">
        <v>34</v>
      </c>
      <c r="D1" s="7" t="s">
        <v>35</v>
      </c>
      <c r="E1" s="7" t="s">
        <v>36</v>
      </c>
    </row>
    <row r="2">
      <c r="A2" s="10">
        <v>45658.0</v>
      </c>
      <c r="B2" s="7">
        <v>86.2</v>
      </c>
      <c r="C2" s="7">
        <v>56.2</v>
      </c>
      <c r="D2" s="7">
        <v>24.1</v>
      </c>
      <c r="E2" s="7">
        <v>3.0</v>
      </c>
    </row>
    <row r="3">
      <c r="A3" s="10">
        <v>45689.0</v>
      </c>
      <c r="B3" s="7">
        <v>86.8</v>
      </c>
      <c r="C3" s="7">
        <v>56.0</v>
      </c>
      <c r="D3" s="7">
        <v>24.6</v>
      </c>
      <c r="E3" s="7">
        <v>2.7</v>
      </c>
    </row>
    <row r="4">
      <c r="A4" s="10">
        <v>45717.0</v>
      </c>
      <c r="B4" s="7">
        <v>87.7</v>
      </c>
      <c r="C4" s="7">
        <v>56.8</v>
      </c>
      <c r="D4" s="7">
        <v>26.6</v>
      </c>
      <c r="E4" s="7">
        <v>3.0</v>
      </c>
    </row>
    <row r="5">
      <c r="A5" s="10">
        <v>45748.0</v>
      </c>
      <c r="B5" s="7">
        <v>87.2</v>
      </c>
      <c r="C5" s="7">
        <v>53.9</v>
      </c>
      <c r="D5" s="7">
        <v>23.0</v>
      </c>
      <c r="E5" s="7">
        <v>2.0</v>
      </c>
    </row>
    <row r="6">
      <c r="A6" s="10">
        <v>45778.0</v>
      </c>
      <c r="B6" s="7">
        <v>86.0</v>
      </c>
      <c r="C6" s="7">
        <v>54.5</v>
      </c>
      <c r="D6" s="7">
        <v>26.2</v>
      </c>
      <c r="E6" s="7">
        <v>3.0</v>
      </c>
    </row>
    <row r="7">
      <c r="A7" s="10">
        <v>45809.0</v>
      </c>
      <c r="B7" s="7">
        <v>85.9</v>
      </c>
      <c r="C7" s="7">
        <v>55.1</v>
      </c>
      <c r="D7" s="7">
        <v>25.2</v>
      </c>
      <c r="E7" s="7">
        <v>2.1</v>
      </c>
    </row>
    <row r="8">
      <c r="A8" s="10">
        <v>45839.0</v>
      </c>
      <c r="B8" s="7">
        <v>86.4</v>
      </c>
      <c r="C8" s="7">
        <v>56.4</v>
      </c>
      <c r="D8" s="7">
        <v>25.9</v>
      </c>
      <c r="E8" s="7">
        <v>2.7</v>
      </c>
    </row>
    <row r="9">
      <c r="A9" s="10">
        <v>45870.0</v>
      </c>
      <c r="B9" s="7">
        <v>70.8</v>
      </c>
      <c r="C9" s="7">
        <v>29.7</v>
      </c>
      <c r="D9" s="7">
        <v>7.5</v>
      </c>
      <c r="E9" s="7">
        <v>0.2</v>
      </c>
    </row>
    <row r="10">
      <c r="A10" s="6" t="s">
        <v>37</v>
      </c>
      <c r="B10" s="7">
        <f t="shared" ref="B10:E10" si="1">AVERAGE(B2:B9)</f>
        <v>84.625</v>
      </c>
      <c r="C10" s="7">
        <f t="shared" si="1"/>
        <v>52.325</v>
      </c>
      <c r="D10" s="7">
        <f t="shared" si="1"/>
        <v>22.8875</v>
      </c>
      <c r="E10" s="7">
        <f t="shared" si="1"/>
        <v>2.3375</v>
      </c>
    </row>
  </sheetData>
  <drawing r:id="rId1"/>
</worksheet>
</file>